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fhi-my.sharepoint.com/personal/fbrenes_habitat_org/Documents/Estadística/Docencia/Teoría Estadística/2025/III Cuatrimestre/Clases/15/"/>
    </mc:Choice>
  </mc:AlternateContent>
  <xr:revisionPtr revIDLastSave="10" documentId="13_ncr:1_{2346ACF7-7438-4179-9FB8-6DBF4DACC1B6}" xr6:coauthVersionLast="47" xr6:coauthVersionMax="47" xr10:uidLastSave="{83ECDDE0-7929-4900-A8F5-5A0004FA1089}"/>
  <bookViews>
    <workbookView xWindow="-120" yWindow="-120" windowWidth="29040" windowHeight="17520" xr2:uid="{01DD7C9D-B70D-4B7F-8387-90682C0C4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0" i="1" l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E131" i="1"/>
  <c r="D131" i="1"/>
</calcChain>
</file>

<file path=xl/sharedStrings.xml><?xml version="1.0" encoding="utf-8"?>
<sst xmlns="http://schemas.openxmlformats.org/spreadsheetml/2006/main" count="3" uniqueCount="3">
  <si>
    <t xml:space="preserve">Granos </t>
  </si>
  <si>
    <t xml:space="preserve">Crudo 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</si>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</sst>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2" fontId="1" fillId="0" borderId="0" xfId="0" applyNumberFormat="1" applyFont="1"/>
    <xf numFmtId="2" fontId="1" fillId="2" borderId="0" xfId="0" applyNumberFormat="1" applyFont="1" applyFill="1"/>
    <xf numFmtId="2" fontId="1" fillId="2" borderId="0" xfId="0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14" fontId="1" fillId="2" borderId="0" xfId="0" applyNumberFormat="1" applyFont="1" applyFill="1"/>
    <xf numFmtId="14" fontId="1" fillId="0" borderId="0" xfId="0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C3CA-7479-48DA-8B62-15E0FE11D3FF}">
  <dimension ref="A1:E132"/>
  <sheetViews>
    <sheetView tabSelected="1" workbookViewId="0">
      <pane xSplit="1" ySplit="1" topLeftCell="B86" activePane="bottomRight" state="frozen"/>
      <selection pane="topRight" activeCell="B1" sqref="B1"/>
      <selection pane="bottomLeft" activeCell="A2" sqref="A2"/>
      <selection pane="bottomRight" activeCell="D131" sqref="D131"/>
    </sheetView>
  </sheetViews>
  <sheetFormatPr defaultColWidth="11.42578125" defaultRowHeight="15" x14ac:dyDescent="0.25"/>
  <sheetData>
    <row r="1" spans="1:5" x14ac:dyDescent="0.25">
      <c r="A1" t="s">
        <v>2</v>
      </c>
      <c r="B1" t="s">
        <v>0</v>
      </c>
      <c r="C1" t="s">
        <v>1</v>
      </c>
    </row>
    <row r="2" spans="1:5" x14ac:dyDescent="0.25">
      <c r="A2" s="5">
        <v>42005</v>
      </c>
      <c r="B2" s="1">
        <v>92.802472216629994</v>
      </c>
      <c r="C2" s="3">
        <v>48.07</v>
      </c>
      <c r="D2" s="7" t="e">
        <f>+B2/#REF!-1</f>
        <v>#REF!</v>
      </c>
      <c r="E2" s="7" t="e">
        <f>+C2/#REF!-1</f>
        <v>#REF!</v>
      </c>
    </row>
    <row r="3" spans="1:5" x14ac:dyDescent="0.25">
      <c r="A3" s="6">
        <v>42036</v>
      </c>
      <c r="B3" s="2">
        <v>91.617766426040006</v>
      </c>
      <c r="C3" s="4">
        <v>57.93</v>
      </c>
      <c r="D3" s="7" t="e">
        <f>+B3/#REF!-1</f>
        <v>#REF!</v>
      </c>
      <c r="E3" s="7" t="e">
        <f>+C3/#REF!-1</f>
        <v>#REF!</v>
      </c>
    </row>
    <row r="4" spans="1:5" x14ac:dyDescent="0.25">
      <c r="A4" s="5">
        <v>42064</v>
      </c>
      <c r="B4" s="1">
        <v>89.695793522659997</v>
      </c>
      <c r="C4" s="3">
        <v>55.79</v>
      </c>
      <c r="D4" s="7" t="e">
        <f>+B4/#REF!-1</f>
        <v>#REF!</v>
      </c>
      <c r="E4" s="7" t="e">
        <f>+C4/#REF!-1</f>
        <v>#REF!</v>
      </c>
    </row>
    <row r="5" spans="1:5" x14ac:dyDescent="0.25">
      <c r="A5" s="6">
        <v>42095</v>
      </c>
      <c r="B5" s="2">
        <v>86.352197595790003</v>
      </c>
      <c r="C5" s="4">
        <v>59.39</v>
      </c>
      <c r="D5" s="7" t="e">
        <f>+B5/#REF!-1</f>
        <v>#REF!</v>
      </c>
      <c r="E5" s="7" t="e">
        <f>+C5/#REF!-1</f>
        <v>#REF!</v>
      </c>
    </row>
    <row r="6" spans="1:5" x14ac:dyDescent="0.25">
      <c r="A6" s="5">
        <v>42125</v>
      </c>
      <c r="B6" s="1">
        <v>85.331011948950007</v>
      </c>
      <c r="C6" s="3">
        <v>64.56</v>
      </c>
      <c r="D6" s="7" t="e">
        <f>+B6/#REF!-1</f>
        <v>#REF!</v>
      </c>
      <c r="E6" s="7" t="e">
        <f>+C6/#REF!-1</f>
        <v>#REF!</v>
      </c>
    </row>
    <row r="7" spans="1:5" x14ac:dyDescent="0.25">
      <c r="A7" s="6">
        <v>42156</v>
      </c>
      <c r="B7" s="2">
        <v>87.854965839260004</v>
      </c>
      <c r="C7" s="4">
        <v>62.34</v>
      </c>
      <c r="D7" s="7" t="e">
        <f>+B7/#REF!-1</f>
        <v>#REF!</v>
      </c>
      <c r="E7" s="7" t="e">
        <f>+C7/#REF!-1</f>
        <v>#REF!</v>
      </c>
    </row>
    <row r="8" spans="1:5" x14ac:dyDescent="0.25">
      <c r="A8" s="5">
        <v>42186</v>
      </c>
      <c r="B8" s="1">
        <v>80.641769464800007</v>
      </c>
      <c r="C8" s="3">
        <v>55.87</v>
      </c>
      <c r="D8" s="7" t="e">
        <f>+B8/#REF!-1</f>
        <v>#REF!</v>
      </c>
      <c r="E8" s="7" t="e">
        <f>+C8/#REF!-1</f>
        <v>#REF!</v>
      </c>
    </row>
    <row r="9" spans="1:5" x14ac:dyDescent="0.25">
      <c r="A9" s="6">
        <v>42217</v>
      </c>
      <c r="B9" s="2">
        <v>79.508787068139995</v>
      </c>
      <c r="C9" s="4">
        <v>46.99</v>
      </c>
      <c r="D9" s="7" t="e">
        <f>+B9/#REF!-1</f>
        <v>#REF!</v>
      </c>
      <c r="E9" s="7" t="e">
        <f>+C9/#REF!-1</f>
        <v>#REF!</v>
      </c>
    </row>
    <row r="10" spans="1:5" x14ac:dyDescent="0.25">
      <c r="A10" s="5">
        <v>42248</v>
      </c>
      <c r="B10" s="1">
        <v>81.959275799029996</v>
      </c>
      <c r="C10" s="3">
        <v>47.24</v>
      </c>
      <c r="D10" s="7" t="e">
        <f>+B10/#REF!-1</f>
        <v>#REF!</v>
      </c>
      <c r="E10" s="7" t="e">
        <f>+C10/#REF!-1</f>
        <v>#REF!</v>
      </c>
    </row>
    <row r="11" spans="1:5" x14ac:dyDescent="0.25">
      <c r="A11" s="6">
        <v>42278</v>
      </c>
      <c r="B11" s="2">
        <v>81.030018965699995</v>
      </c>
      <c r="C11" s="4">
        <v>48.12</v>
      </c>
      <c r="D11" s="7" t="e">
        <f>+B11/#REF!-1</f>
        <v>#REF!</v>
      </c>
      <c r="E11" s="7" t="e">
        <f>+C11/#REF!-1</f>
        <v>#REF!</v>
      </c>
    </row>
    <row r="12" spans="1:5" x14ac:dyDescent="0.25">
      <c r="A12" s="5">
        <v>42309</v>
      </c>
      <c r="B12" s="1">
        <v>81.60592321579</v>
      </c>
      <c r="C12" s="3">
        <v>44.42</v>
      </c>
      <c r="D12" s="7" t="e">
        <f>+B12/#REF!-1</f>
        <v>#REF!</v>
      </c>
      <c r="E12" s="7" t="e">
        <f>+C12/#REF!-1</f>
        <v>#REF!</v>
      </c>
    </row>
    <row r="13" spans="1:5" x14ac:dyDescent="0.25">
      <c r="A13" s="6">
        <v>42339</v>
      </c>
      <c r="B13" s="2">
        <v>81.769684547980006</v>
      </c>
      <c r="C13" s="4">
        <v>37.72</v>
      </c>
      <c r="D13" s="7" t="e">
        <f t="shared" ref="D13:E13" si="0">+B13/B1-1</f>
        <v>#VALUE!</v>
      </c>
      <c r="E13" s="7" t="e">
        <f t="shared" si="0"/>
        <v>#VALUE!</v>
      </c>
    </row>
    <row r="14" spans="1:5" x14ac:dyDescent="0.25">
      <c r="A14" s="5">
        <v>42370</v>
      </c>
      <c r="B14" s="1">
        <v>81.607248789660005</v>
      </c>
      <c r="C14" s="3">
        <v>30.8</v>
      </c>
      <c r="D14" s="7">
        <f t="shared" ref="D14:E14" si="1">+B14/B2-1</f>
        <v>-0.12063496973266874</v>
      </c>
      <c r="E14" s="7">
        <f t="shared" si="1"/>
        <v>-0.3592677345537757</v>
      </c>
    </row>
    <row r="15" spans="1:5" x14ac:dyDescent="0.25">
      <c r="A15" s="6">
        <v>42401</v>
      </c>
      <c r="B15" s="2">
        <v>81.90223138767</v>
      </c>
      <c r="C15" s="4">
        <v>33.200000000000003</v>
      </c>
      <c r="D15" s="7">
        <f t="shared" ref="D15:E15" si="2">+B15/B3-1</f>
        <v>-0.10604422501625854</v>
      </c>
      <c r="E15" s="7">
        <f t="shared" si="2"/>
        <v>-0.42689452787847393</v>
      </c>
    </row>
    <row r="16" spans="1:5" x14ac:dyDescent="0.25">
      <c r="A16" s="5">
        <v>42430</v>
      </c>
      <c r="B16" s="1">
        <v>83.314349236140004</v>
      </c>
      <c r="C16" s="3">
        <v>39.07</v>
      </c>
      <c r="D16" s="7">
        <f t="shared" ref="D16:E16" si="3">+B16/B4-1</f>
        <v>-7.1145413133647528E-2</v>
      </c>
      <c r="E16" s="7">
        <f t="shared" si="3"/>
        <v>-0.29969528589352934</v>
      </c>
    </row>
    <row r="17" spans="1:5" x14ac:dyDescent="0.25">
      <c r="A17" s="6">
        <v>42461</v>
      </c>
      <c r="B17" s="2">
        <v>84.904299061489994</v>
      </c>
      <c r="C17" s="4">
        <v>42.25</v>
      </c>
      <c r="D17" s="7">
        <f t="shared" ref="D17:E17" si="4">+B17/B5-1</f>
        <v>-1.6767361741939046E-2</v>
      </c>
      <c r="E17" s="7">
        <f t="shared" si="4"/>
        <v>-0.2886007745411685</v>
      </c>
    </row>
    <row r="18" spans="1:5" x14ac:dyDescent="0.25">
      <c r="A18" s="5">
        <v>42491</v>
      </c>
      <c r="B18" s="1">
        <v>87.834618764620004</v>
      </c>
      <c r="C18" s="3">
        <v>47.13</v>
      </c>
      <c r="D18" s="7">
        <f t="shared" ref="D18:E18" si="5">+B18/B6-1</f>
        <v>2.9339940526754704E-2</v>
      </c>
      <c r="E18" s="7">
        <f t="shared" si="5"/>
        <v>-0.26998141263940523</v>
      </c>
    </row>
    <row r="19" spans="1:5" x14ac:dyDescent="0.25">
      <c r="A19" s="6">
        <v>42522</v>
      </c>
      <c r="B19" s="2">
        <v>81.477539507079996</v>
      </c>
      <c r="C19" s="4">
        <v>48.48</v>
      </c>
      <c r="D19" s="7">
        <f t="shared" ref="D19:E19" si="6">+B19/B7-1</f>
        <v>-7.259039112084098E-2</v>
      </c>
      <c r="E19" s="7">
        <f t="shared" si="6"/>
        <v>-0.22232916265640046</v>
      </c>
    </row>
    <row r="20" spans="1:5" x14ac:dyDescent="0.25">
      <c r="A20" s="5">
        <v>42552</v>
      </c>
      <c r="B20" s="1">
        <v>76.701043770439995</v>
      </c>
      <c r="C20" s="3">
        <v>45.07</v>
      </c>
      <c r="D20" s="7">
        <f t="shared" ref="D20:E20" si="7">+B20/B8-1</f>
        <v>-4.8867053891719636E-2</v>
      </c>
      <c r="E20" s="7">
        <f t="shared" si="7"/>
        <v>-0.19330588867012699</v>
      </c>
    </row>
    <row r="21" spans="1:5" x14ac:dyDescent="0.25">
      <c r="A21" s="6">
        <v>42583</v>
      </c>
      <c r="B21" s="2">
        <v>74.433376047359999</v>
      </c>
      <c r="C21" s="4">
        <v>46.14</v>
      </c>
      <c r="D21" s="7">
        <f t="shared" ref="D21:E21" si="8">+B21/B9-1</f>
        <v>-6.383459247630463E-2</v>
      </c>
      <c r="E21" s="7">
        <f t="shared" si="8"/>
        <v>-1.8088955096829173E-2</v>
      </c>
    </row>
    <row r="22" spans="1:5" x14ac:dyDescent="0.25">
      <c r="A22" s="5">
        <v>42614</v>
      </c>
      <c r="B22" s="1">
        <v>74.528058450900005</v>
      </c>
      <c r="C22" s="3">
        <v>46.19</v>
      </c>
      <c r="D22" s="7">
        <f t="shared" ref="D22:E22" si="9">+B22/B10-1</f>
        <v>-9.0669631663801709E-2</v>
      </c>
      <c r="E22" s="7">
        <f t="shared" si="9"/>
        <v>-2.2226926333615671E-2</v>
      </c>
    </row>
    <row r="23" spans="1:5" x14ac:dyDescent="0.25">
      <c r="A23" s="6">
        <v>42644</v>
      </c>
      <c r="B23" s="2">
        <v>74.056262369400002</v>
      </c>
      <c r="C23" s="4">
        <v>49.73</v>
      </c>
      <c r="D23" s="7">
        <f t="shared" ref="D23:E23" si="10">+B23/B11-1</f>
        <v>-8.606386479129402E-2</v>
      </c>
      <c r="E23" s="7">
        <f t="shared" si="10"/>
        <v>3.3458021612635003E-2</v>
      </c>
    </row>
    <row r="24" spans="1:5" x14ac:dyDescent="0.25">
      <c r="A24" s="5">
        <v>42675</v>
      </c>
      <c r="B24" s="1">
        <v>73.695811923359997</v>
      </c>
      <c r="C24" s="3">
        <v>46.44</v>
      </c>
      <c r="D24" s="7">
        <f t="shared" ref="D24:E24" si="11">+B24/B12-1</f>
        <v>-9.693060234749562E-2</v>
      </c>
      <c r="E24" s="7">
        <f t="shared" si="11"/>
        <v>4.54750112561908E-2</v>
      </c>
    </row>
    <row r="25" spans="1:5" x14ac:dyDescent="0.25">
      <c r="A25" s="6">
        <v>42705</v>
      </c>
      <c r="B25" s="2">
        <v>76.885632183560006</v>
      </c>
      <c r="C25" s="4">
        <v>54.07</v>
      </c>
      <c r="D25" s="7">
        <f t="shared" ref="D25:E25" si="12">+B25/B13-1</f>
        <v>-5.9729377597808719E-2</v>
      </c>
      <c r="E25" s="7">
        <f t="shared" si="12"/>
        <v>0.43345705196182394</v>
      </c>
    </row>
    <row r="26" spans="1:5" x14ac:dyDescent="0.25">
      <c r="A26" s="5">
        <v>42736</v>
      </c>
      <c r="B26" s="1">
        <v>77.106237878100004</v>
      </c>
      <c r="C26" s="3">
        <v>54.89</v>
      </c>
      <c r="D26" s="7">
        <f t="shared" ref="D26:E26" si="13">+B26/B14-1</f>
        <v>-5.5154547890239658E-2</v>
      </c>
      <c r="E26" s="7">
        <f t="shared" si="13"/>
        <v>0.78214285714285703</v>
      </c>
    </row>
    <row r="27" spans="1:5" x14ac:dyDescent="0.25">
      <c r="A27" s="6">
        <v>42767</v>
      </c>
      <c r="B27" s="2">
        <v>76.396257905789994</v>
      </c>
      <c r="C27" s="4">
        <v>55.49</v>
      </c>
      <c r="D27" s="7">
        <f t="shared" ref="D27:E27" si="14">+B27/B15-1</f>
        <v>-6.7226171846508476E-2</v>
      </c>
      <c r="E27" s="7">
        <f t="shared" si="14"/>
        <v>0.67138554216867452</v>
      </c>
    </row>
    <row r="28" spans="1:5" x14ac:dyDescent="0.25">
      <c r="A28" s="5">
        <v>42795</v>
      </c>
      <c r="B28" s="1">
        <v>77.798326941460004</v>
      </c>
      <c r="C28" s="3">
        <v>51.97</v>
      </c>
      <c r="D28" s="7">
        <f t="shared" ref="D28:E28" si="15">+B28/B16-1</f>
        <v>-6.6207350177408197E-2</v>
      </c>
      <c r="E28" s="7">
        <f t="shared" si="15"/>
        <v>0.33017660609163046</v>
      </c>
    </row>
    <row r="29" spans="1:5" x14ac:dyDescent="0.25">
      <c r="A29" s="6">
        <v>42826</v>
      </c>
      <c r="B29" s="2">
        <v>82.420599461809999</v>
      </c>
      <c r="C29" s="4">
        <v>52.98</v>
      </c>
      <c r="D29" s="7">
        <f t="shared" ref="D29:E29" si="16">+B29/B17-1</f>
        <v>-2.9252930972096358E-2</v>
      </c>
      <c r="E29" s="7">
        <f t="shared" si="16"/>
        <v>0.2539644970414201</v>
      </c>
    </row>
    <row r="30" spans="1:5" x14ac:dyDescent="0.25">
      <c r="A30" s="5">
        <v>42856</v>
      </c>
      <c r="B30" s="1">
        <v>85.598194290920006</v>
      </c>
      <c r="C30" s="3">
        <v>50.87</v>
      </c>
      <c r="D30" s="7">
        <f t="shared" ref="D30:E30" si="17">+B30/B18-1</f>
        <v>-2.5461765590321428E-2</v>
      </c>
      <c r="E30" s="7">
        <f t="shared" si="17"/>
        <v>7.9354975599405853E-2</v>
      </c>
    </row>
    <row r="31" spans="1:5" x14ac:dyDescent="0.25">
      <c r="A31" s="6">
        <v>42887</v>
      </c>
      <c r="B31" s="2">
        <v>84.427156076789998</v>
      </c>
      <c r="C31" s="4">
        <v>46.89</v>
      </c>
      <c r="D31" s="7">
        <f t="shared" ref="D31:E31" si="18">+B31/B19-1</f>
        <v>3.6201591107862363E-2</v>
      </c>
      <c r="E31" s="7">
        <f t="shared" si="18"/>
        <v>-3.2797029702970271E-2</v>
      </c>
    </row>
    <row r="32" spans="1:5" x14ac:dyDescent="0.25">
      <c r="A32" s="5">
        <v>42917</v>
      </c>
      <c r="B32" s="1">
        <v>77.490741847250007</v>
      </c>
      <c r="C32" s="3">
        <v>48.69</v>
      </c>
      <c r="D32" s="7">
        <f t="shared" ref="D32:E32" si="19">+B32/B20-1</f>
        <v>1.0295793094726502E-2</v>
      </c>
      <c r="E32" s="7">
        <f t="shared" si="19"/>
        <v>8.0319502995340519E-2</v>
      </c>
    </row>
    <row r="33" spans="1:5" x14ac:dyDescent="0.25">
      <c r="A33" s="6">
        <v>42948</v>
      </c>
      <c r="B33" s="2">
        <v>78.611910946310005</v>
      </c>
      <c r="C33" s="4">
        <v>51.37</v>
      </c>
      <c r="D33" s="7">
        <f t="shared" ref="D33:E33" si="20">+B33/B21-1</f>
        <v>5.6137919853202822E-2</v>
      </c>
      <c r="E33" s="7">
        <f t="shared" si="20"/>
        <v>0.11335067186822712</v>
      </c>
    </row>
    <row r="34" spans="1:5" x14ac:dyDescent="0.25">
      <c r="A34" s="5">
        <v>42979</v>
      </c>
      <c r="B34" s="1">
        <v>78.078248476309994</v>
      </c>
      <c r="C34" s="3">
        <v>55.16</v>
      </c>
      <c r="D34" s="7">
        <f t="shared" ref="D34:E34" si="21">+B34/B22-1</f>
        <v>4.7635616695273164E-2</v>
      </c>
      <c r="E34" s="7">
        <f t="shared" si="21"/>
        <v>0.19419787832864266</v>
      </c>
    </row>
    <row r="35" spans="1:5" x14ac:dyDescent="0.25">
      <c r="A35" s="6">
        <v>43009</v>
      </c>
      <c r="B35" s="2">
        <v>79.327207937180006</v>
      </c>
      <c r="C35" s="4">
        <v>57.62</v>
      </c>
      <c r="D35" s="7">
        <f t="shared" ref="D35:E35" si="22">+B35/B23-1</f>
        <v>7.1174879735193874E-2</v>
      </c>
      <c r="E35" s="7">
        <f t="shared" si="22"/>
        <v>0.15865674643072603</v>
      </c>
    </row>
    <row r="36" spans="1:5" x14ac:dyDescent="0.25">
      <c r="A36" s="5">
        <v>43040</v>
      </c>
      <c r="B36" s="1">
        <v>80.402316435450004</v>
      </c>
      <c r="C36" s="3">
        <v>62.57</v>
      </c>
      <c r="D36" s="7">
        <f t="shared" ref="D36:E36" si="23">+B36/B24-1</f>
        <v>9.1002518827860035E-2</v>
      </c>
      <c r="E36" s="7">
        <f t="shared" si="23"/>
        <v>0.34732988802756259</v>
      </c>
    </row>
    <row r="37" spans="1:5" x14ac:dyDescent="0.25">
      <c r="A37" s="6">
        <v>43070</v>
      </c>
      <c r="B37" s="2">
        <v>85.087707607219997</v>
      </c>
      <c r="C37" s="4">
        <v>64.209999999999994</v>
      </c>
      <c r="D37" s="7">
        <f t="shared" ref="D37:E37" si="24">+B37/B25-1</f>
        <v>0.10667890983946138</v>
      </c>
      <c r="E37" s="7">
        <f t="shared" si="24"/>
        <v>0.18753467727020512</v>
      </c>
    </row>
    <row r="38" spans="1:5" x14ac:dyDescent="0.25">
      <c r="A38" s="5">
        <v>43101</v>
      </c>
      <c r="B38" s="1">
        <v>85.862448063900004</v>
      </c>
      <c r="C38" s="3">
        <v>68.989999999999995</v>
      </c>
      <c r="D38" s="7">
        <f t="shared" ref="D38:E38" si="25">+B38/B26-1</f>
        <v>0.11356033476361538</v>
      </c>
      <c r="E38" s="7">
        <f t="shared" si="25"/>
        <v>0.25687739114592811</v>
      </c>
    </row>
    <row r="39" spans="1:5" x14ac:dyDescent="0.25">
      <c r="A39" s="6">
        <v>43132</v>
      </c>
      <c r="B39" s="2">
        <v>88.112536214520006</v>
      </c>
      <c r="C39" s="4">
        <v>65.42</v>
      </c>
      <c r="D39" s="7">
        <f t="shared" ref="D39:E39" si="26">+B39/B27-1</f>
        <v>0.15336193983713486</v>
      </c>
      <c r="E39" s="7">
        <f t="shared" si="26"/>
        <v>0.17895116237159847</v>
      </c>
    </row>
    <row r="40" spans="1:5" x14ac:dyDescent="0.25">
      <c r="A40" s="5">
        <v>43160</v>
      </c>
      <c r="B40" s="1">
        <v>92.650178210690001</v>
      </c>
      <c r="C40" s="3">
        <v>66.45</v>
      </c>
      <c r="D40" s="7">
        <f t="shared" ref="D40:E40" si="27">+B40/B28-1</f>
        <v>0.19090193649543896</v>
      </c>
      <c r="E40" s="7">
        <f t="shared" si="27"/>
        <v>0.27862228208581885</v>
      </c>
    </row>
    <row r="41" spans="1:5" x14ac:dyDescent="0.25">
      <c r="A41" s="6">
        <v>43191</v>
      </c>
      <c r="B41" s="2">
        <v>93.414675935890003</v>
      </c>
      <c r="C41" s="4">
        <v>71.63</v>
      </c>
      <c r="D41" s="7">
        <f t="shared" ref="D41:E41" si="28">+B41/B29-1</f>
        <v>0.13338991157391633</v>
      </c>
      <c r="E41" s="7">
        <f t="shared" si="28"/>
        <v>0.35201963004907522</v>
      </c>
    </row>
    <row r="42" spans="1:5" x14ac:dyDescent="0.25">
      <c r="A42" s="5">
        <v>43221</v>
      </c>
      <c r="B42" s="1">
        <v>89.476823788760001</v>
      </c>
      <c r="C42" s="3">
        <v>76.650000000000006</v>
      </c>
      <c r="D42" s="7">
        <f t="shared" ref="D42:E42" si="29">+B42/B30-1</f>
        <v>4.5312048110008218E-2</v>
      </c>
      <c r="E42" s="7">
        <f t="shared" si="29"/>
        <v>0.5067819933162967</v>
      </c>
    </row>
    <row r="43" spans="1:5" x14ac:dyDescent="0.25">
      <c r="A43" s="6">
        <v>43252</v>
      </c>
      <c r="B43" s="2">
        <v>85.670531213770005</v>
      </c>
      <c r="C43" s="4">
        <v>75.19</v>
      </c>
      <c r="D43" s="7">
        <f t="shared" ref="D43:E43" si="30">+B43/B31-1</f>
        <v>1.4727194362073481E-2</v>
      </c>
      <c r="E43" s="7">
        <f t="shared" si="30"/>
        <v>0.60354020046918322</v>
      </c>
    </row>
    <row r="44" spans="1:5" x14ac:dyDescent="0.25">
      <c r="A44" s="5">
        <v>43282</v>
      </c>
      <c r="B44" s="1">
        <v>89.401580014420006</v>
      </c>
      <c r="C44" s="3">
        <v>74.44</v>
      </c>
      <c r="D44" s="7">
        <f t="shared" ref="D44:E44" si="31">+B44/B32-1</f>
        <v>0.15370659621053417</v>
      </c>
      <c r="E44" s="7">
        <f t="shared" si="31"/>
        <v>0.52885602793181352</v>
      </c>
    </row>
    <row r="45" spans="1:5" x14ac:dyDescent="0.25">
      <c r="A45" s="6">
        <v>43313</v>
      </c>
      <c r="B45" s="2">
        <v>84.804963934930001</v>
      </c>
      <c r="C45" s="4">
        <v>73.13</v>
      </c>
      <c r="D45" s="7">
        <f t="shared" ref="D45:E45" si="32">+B45/B33-1</f>
        <v>7.8780084519885163E-2</v>
      </c>
      <c r="E45" s="7">
        <f t="shared" si="32"/>
        <v>0.42359353708390102</v>
      </c>
    </row>
    <row r="46" spans="1:5" x14ac:dyDescent="0.25">
      <c r="A46" s="5">
        <v>43344</v>
      </c>
      <c r="B46" s="1">
        <v>86.374212067650006</v>
      </c>
      <c r="C46" s="3">
        <v>78.86</v>
      </c>
      <c r="D46" s="7">
        <f t="shared" ref="D46:E46" si="33">+B46/B34-1</f>
        <v>0.10625191718865357</v>
      </c>
      <c r="E46" s="7">
        <f t="shared" si="33"/>
        <v>0.42965917331399583</v>
      </c>
    </row>
    <row r="47" spans="1:5" x14ac:dyDescent="0.25">
      <c r="A47" s="6">
        <v>43374</v>
      </c>
      <c r="B47" s="2">
        <v>84.854722559920006</v>
      </c>
      <c r="C47" s="4">
        <v>80.47</v>
      </c>
      <c r="D47" s="7">
        <f t="shared" ref="D47:E47" si="34">+B47/B35-1</f>
        <v>6.9679934116895881E-2</v>
      </c>
      <c r="E47" s="7">
        <f t="shared" si="34"/>
        <v>0.39656369316209661</v>
      </c>
    </row>
    <row r="48" spans="1:5" x14ac:dyDescent="0.25">
      <c r="A48" s="5">
        <v>43405</v>
      </c>
      <c r="B48" s="1">
        <v>87.394762703390001</v>
      </c>
      <c r="C48" s="3">
        <v>65.17</v>
      </c>
      <c r="D48" s="7">
        <f t="shared" ref="D48:E48" si="35">+B48/B36-1</f>
        <v>8.6968219050676199E-2</v>
      </c>
      <c r="E48" s="7">
        <f t="shared" si="35"/>
        <v>4.1553460124660324E-2</v>
      </c>
    </row>
    <row r="49" spans="1:5" x14ac:dyDescent="0.25">
      <c r="A49" s="6">
        <v>43435</v>
      </c>
      <c r="B49" s="2">
        <v>87.446089648970002</v>
      </c>
      <c r="C49" s="4">
        <v>56.46</v>
      </c>
      <c r="D49" s="7">
        <f t="shared" ref="D49:E49" si="36">+B49/B37-1</f>
        <v>2.7717071103110724E-2</v>
      </c>
      <c r="E49" s="7">
        <f t="shared" si="36"/>
        <v>-0.12069771063697232</v>
      </c>
    </row>
    <row r="50" spans="1:5" x14ac:dyDescent="0.25">
      <c r="A50" s="5">
        <v>43466</v>
      </c>
      <c r="B50" s="1">
        <v>88.970869026019997</v>
      </c>
      <c r="C50" s="3">
        <v>59.27</v>
      </c>
      <c r="D50" s="7">
        <f t="shared" ref="D50:E50" si="37">+B50/B38-1</f>
        <v>3.6202333292508326E-2</v>
      </c>
      <c r="E50" s="7">
        <f t="shared" si="37"/>
        <v>-0.14088998405566011</v>
      </c>
    </row>
    <row r="51" spans="1:5" x14ac:dyDescent="0.25">
      <c r="A51" s="6">
        <v>43497</v>
      </c>
      <c r="B51" s="2">
        <v>86.628393813439999</v>
      </c>
      <c r="C51" s="4">
        <v>64.13</v>
      </c>
      <c r="D51" s="7">
        <f t="shared" ref="D51:E51" si="38">+B51/B39-1</f>
        <v>-1.6843714468355531E-2</v>
      </c>
      <c r="E51" s="7">
        <f t="shared" si="38"/>
        <v>-1.9718740446346805E-2</v>
      </c>
    </row>
    <row r="52" spans="1:5" x14ac:dyDescent="0.25">
      <c r="A52" s="5">
        <v>43525</v>
      </c>
      <c r="B52" s="1">
        <v>85.713450392810003</v>
      </c>
      <c r="C52" s="3">
        <v>66.41</v>
      </c>
      <c r="D52" s="7">
        <f t="shared" ref="D52:E52" si="39">+B52/B40-1</f>
        <v>-7.4870096872405534E-2</v>
      </c>
      <c r="E52" s="7">
        <f t="shared" si="39"/>
        <v>-6.0195635816417958E-4</v>
      </c>
    </row>
    <row r="53" spans="1:5" x14ac:dyDescent="0.25">
      <c r="A53" s="6">
        <v>43556</v>
      </c>
      <c r="B53" s="2">
        <v>87.875920427889994</v>
      </c>
      <c r="C53" s="4">
        <v>71.2</v>
      </c>
      <c r="D53" s="7">
        <f t="shared" ref="D53:E53" si="40">+B53/B41-1</f>
        <v>-5.9292134265939378E-2</v>
      </c>
      <c r="E53" s="7">
        <f t="shared" si="40"/>
        <v>-6.0030713388243839E-3</v>
      </c>
    </row>
    <row r="54" spans="1:5" x14ac:dyDescent="0.25">
      <c r="A54" s="5">
        <v>43586</v>
      </c>
      <c r="B54" s="1">
        <v>94.574105579979999</v>
      </c>
      <c r="C54" s="3">
        <v>70.53</v>
      </c>
      <c r="D54" s="7">
        <f t="shared" ref="D54:E54" si="41">+B54/B42-1</f>
        <v>5.6967621059659468E-2</v>
      </c>
      <c r="E54" s="7">
        <f t="shared" si="41"/>
        <v>-7.9843444227005955E-2</v>
      </c>
    </row>
    <row r="55" spans="1:5" x14ac:dyDescent="0.25">
      <c r="A55" s="6">
        <v>43617</v>
      </c>
      <c r="B55" s="2">
        <v>91.962834103030005</v>
      </c>
      <c r="C55" s="4">
        <v>63.3</v>
      </c>
      <c r="D55" s="7">
        <f t="shared" ref="D55:E55" si="42">+B55/B43-1</f>
        <v>7.3447693157861815E-2</v>
      </c>
      <c r="E55" s="7">
        <f t="shared" si="42"/>
        <v>-0.15813273041627873</v>
      </c>
    </row>
    <row r="56" spans="1:5" x14ac:dyDescent="0.25">
      <c r="A56" s="5">
        <v>43647</v>
      </c>
      <c r="B56" s="1">
        <v>85.116216849520001</v>
      </c>
      <c r="C56" s="3">
        <v>64</v>
      </c>
      <c r="D56" s="7">
        <f t="shared" ref="D56:E56" si="43">+B56/B44-1</f>
        <v>-4.7933863855748382E-2</v>
      </c>
      <c r="E56" s="7">
        <f t="shared" si="43"/>
        <v>-0.14024717893605587</v>
      </c>
    </row>
    <row r="57" spans="1:5" x14ac:dyDescent="0.25">
      <c r="A57" s="6">
        <v>43678</v>
      </c>
      <c r="B57" s="2">
        <v>84.021560418449994</v>
      </c>
      <c r="C57" s="4">
        <v>59.25</v>
      </c>
      <c r="D57" s="7">
        <f t="shared" ref="D57:E57" si="44">+B57/B45-1</f>
        <v>-9.2377082676564637E-3</v>
      </c>
      <c r="E57" s="7">
        <f t="shared" si="44"/>
        <v>-0.18979898810337748</v>
      </c>
    </row>
    <row r="58" spans="1:5" x14ac:dyDescent="0.25">
      <c r="A58" s="5">
        <v>43709</v>
      </c>
      <c r="B58" s="1">
        <v>87.129475476490001</v>
      </c>
      <c r="C58" s="3">
        <v>62.33</v>
      </c>
      <c r="D58" s="7">
        <f t="shared" ref="D58:E58" si="45">+B58/B46-1</f>
        <v>8.7440844988369015E-3</v>
      </c>
      <c r="E58" s="7">
        <f t="shared" si="45"/>
        <v>-0.20961197058077607</v>
      </c>
    </row>
    <row r="59" spans="1:5" x14ac:dyDescent="0.25">
      <c r="A59" s="6">
        <v>43739</v>
      </c>
      <c r="B59" s="2">
        <v>87.180321439400004</v>
      </c>
      <c r="C59" s="4">
        <v>59.37</v>
      </c>
      <c r="D59" s="7">
        <f t="shared" ref="D59:E59" si="46">+B59/B47-1</f>
        <v>2.7406829099438479E-2</v>
      </c>
      <c r="E59" s="7">
        <f t="shared" si="46"/>
        <v>-0.26220951907543188</v>
      </c>
    </row>
    <row r="60" spans="1:5" x14ac:dyDescent="0.25">
      <c r="A60" s="5">
        <v>43770</v>
      </c>
      <c r="B60" s="1">
        <v>88.867750132089995</v>
      </c>
      <c r="C60" s="3">
        <v>62.74</v>
      </c>
      <c r="D60" s="7">
        <f t="shared" ref="D60:E60" si="47">+B60/B48-1</f>
        <v>1.6854413046456518E-2</v>
      </c>
      <c r="E60" s="7">
        <f t="shared" si="47"/>
        <v>-3.7287095289243566E-2</v>
      </c>
    </row>
    <row r="61" spans="1:5" x14ac:dyDescent="0.25">
      <c r="A61" s="6">
        <v>43800</v>
      </c>
      <c r="B61" s="2">
        <v>92.637700704620002</v>
      </c>
      <c r="C61" s="4">
        <v>65.849999999999994</v>
      </c>
      <c r="D61" s="7">
        <f t="shared" ref="D61:E61" si="48">+B61/B49-1</f>
        <v>5.9369276276279415E-2</v>
      </c>
      <c r="E61" s="7">
        <f t="shared" si="48"/>
        <v>0.16631243358129644</v>
      </c>
    </row>
    <row r="62" spans="1:5" x14ac:dyDescent="0.25">
      <c r="A62" s="5">
        <v>43831</v>
      </c>
      <c r="B62" s="1">
        <v>90.862844695489997</v>
      </c>
      <c r="C62" s="3">
        <v>63.6</v>
      </c>
      <c r="D62" s="7">
        <f t="shared" ref="D62:E62" si="49">+B62/B50-1</f>
        <v>2.1265113965748483E-2</v>
      </c>
      <c r="E62" s="7">
        <f t="shared" si="49"/>
        <v>7.3055508689050086E-2</v>
      </c>
    </row>
    <row r="63" spans="1:5" x14ac:dyDescent="0.25">
      <c r="A63" s="6">
        <v>43862</v>
      </c>
      <c r="B63" s="2">
        <v>91.491727349160001</v>
      </c>
      <c r="C63" s="4">
        <v>55</v>
      </c>
      <c r="D63" s="7">
        <f t="shared" ref="D63:E63" si="50">+B63/B51-1</f>
        <v>5.6140179006360258E-2</v>
      </c>
      <c r="E63" s="7">
        <f t="shared" si="50"/>
        <v>-0.14236706689536871</v>
      </c>
    </row>
    <row r="64" spans="1:5" x14ac:dyDescent="0.25">
      <c r="A64" s="5">
        <v>43891</v>
      </c>
      <c r="B64" s="1">
        <v>93.526754853110006</v>
      </c>
      <c r="C64" s="3">
        <v>32.979999999999997</v>
      </c>
      <c r="D64" s="7">
        <f t="shared" ref="D64:E64" si="51">+B64/B52-1</f>
        <v>9.1156107057795088E-2</v>
      </c>
      <c r="E64" s="7">
        <f t="shared" si="51"/>
        <v>-0.50338804396928172</v>
      </c>
    </row>
    <row r="65" spans="1:5" x14ac:dyDescent="0.25">
      <c r="A65" s="6">
        <v>43922</v>
      </c>
      <c r="B65" s="2">
        <v>87.230170275579994</v>
      </c>
      <c r="C65" s="4">
        <v>23.34</v>
      </c>
      <c r="D65" s="7">
        <f t="shared" ref="D65:E65" si="52">+B65/B53-1</f>
        <v>-7.3484311648250866E-3</v>
      </c>
      <c r="E65" s="7">
        <f t="shared" si="52"/>
        <v>-0.67219101123595504</v>
      </c>
    </row>
    <row r="66" spans="1:5" x14ac:dyDescent="0.25">
      <c r="A66" s="5">
        <v>43952</v>
      </c>
      <c r="B66" s="1">
        <v>87.914212852709994</v>
      </c>
      <c r="C66" s="3">
        <v>31.02</v>
      </c>
      <c r="D66" s="7">
        <f t="shared" ref="D66:E66" si="53">+B66/B54-1</f>
        <v>-7.0419833065593518E-2</v>
      </c>
      <c r="E66" s="7">
        <f t="shared" si="53"/>
        <v>-0.56018715440238198</v>
      </c>
    </row>
    <row r="67" spans="1:5" x14ac:dyDescent="0.25">
      <c r="A67" s="6">
        <v>43983</v>
      </c>
      <c r="B67" s="2">
        <v>89.126756380879996</v>
      </c>
      <c r="C67" s="4">
        <v>39.93</v>
      </c>
      <c r="D67" s="7">
        <f t="shared" ref="D67:E67" si="54">+B67/B55-1</f>
        <v>-3.0839390171170988E-2</v>
      </c>
      <c r="E67" s="7">
        <f t="shared" si="54"/>
        <v>-0.36919431279620851</v>
      </c>
    </row>
    <row r="68" spans="1:5" x14ac:dyDescent="0.25">
      <c r="A68" s="5">
        <v>44013</v>
      </c>
      <c r="B68" s="1">
        <v>90.062808215139995</v>
      </c>
      <c r="C68" s="3">
        <v>42.81</v>
      </c>
      <c r="D68" s="7">
        <f t="shared" ref="D68:E68" si="55">+B68/B56-1</f>
        <v>5.8115733390327273E-2</v>
      </c>
      <c r="E68" s="7">
        <f t="shared" si="55"/>
        <v>-0.33109374999999996</v>
      </c>
    </row>
    <row r="69" spans="1:5" x14ac:dyDescent="0.25">
      <c r="A69" s="6">
        <v>44044</v>
      </c>
      <c r="B69" s="2">
        <v>96.653138306550005</v>
      </c>
      <c r="C69" s="4">
        <v>44.26</v>
      </c>
      <c r="D69" s="7">
        <f t="shared" ref="D69:E69" si="56">+B69/B57-1</f>
        <v>0.15033733990646381</v>
      </c>
      <c r="E69" s="7">
        <f t="shared" si="56"/>
        <v>-0.25299578059071737</v>
      </c>
    </row>
    <row r="70" spans="1:5" x14ac:dyDescent="0.25">
      <c r="A70" s="5">
        <v>44075</v>
      </c>
      <c r="B70" s="1">
        <v>101.75976173047</v>
      </c>
      <c r="C70" s="3">
        <v>41.09</v>
      </c>
      <c r="D70" s="7">
        <f t="shared" ref="D70:E70" si="57">+B70/B58-1</f>
        <v>0.16791431572347371</v>
      </c>
      <c r="E70" s="7">
        <f t="shared" si="57"/>
        <v>-0.34076688592972881</v>
      </c>
    </row>
    <row r="71" spans="1:5" x14ac:dyDescent="0.25">
      <c r="A71" s="6">
        <v>44105</v>
      </c>
      <c r="B71" s="2">
        <v>103.79739342716999</v>
      </c>
      <c r="C71" s="4">
        <v>40.47</v>
      </c>
      <c r="D71" s="7">
        <f t="shared" ref="D71:E71" si="58">+B71/B59-1</f>
        <v>0.19060576645522809</v>
      </c>
      <c r="E71" s="7">
        <f t="shared" si="58"/>
        <v>-0.31834259727134917</v>
      </c>
    </row>
    <row r="72" spans="1:5" x14ac:dyDescent="0.25">
      <c r="A72" s="5">
        <v>44136</v>
      </c>
      <c r="B72" s="1">
        <v>107.11468997688</v>
      </c>
      <c r="C72" s="3">
        <v>43.23</v>
      </c>
      <c r="D72" s="7">
        <f t="shared" ref="D72:E72" si="59">+B72/B60-1</f>
        <v>0.20532690225271111</v>
      </c>
      <c r="E72" s="7">
        <f t="shared" si="59"/>
        <v>-0.31096589097864213</v>
      </c>
    </row>
    <row r="73" spans="1:5" x14ac:dyDescent="0.25">
      <c r="A73" s="6">
        <v>44166</v>
      </c>
      <c r="B73" s="2">
        <v>118.95391235965</v>
      </c>
      <c r="C73" s="4">
        <v>49.87</v>
      </c>
      <c r="D73" s="7">
        <f t="shared" ref="D73:E73" si="60">+B73/B61-1</f>
        <v>0.28407669291081161</v>
      </c>
      <c r="E73" s="7">
        <f t="shared" si="60"/>
        <v>-0.24267274107820802</v>
      </c>
    </row>
    <row r="74" spans="1:5" x14ac:dyDescent="0.25">
      <c r="A74" s="5">
        <v>44197</v>
      </c>
      <c r="B74" s="1">
        <v>122.17752272073</v>
      </c>
      <c r="C74" s="3">
        <v>54.55</v>
      </c>
      <c r="D74" s="7">
        <f t="shared" ref="D74:E74" si="61">+B74/B62-1</f>
        <v>0.34463677788413238</v>
      </c>
      <c r="E74" s="7">
        <f t="shared" si="61"/>
        <v>-0.14229559748427678</v>
      </c>
    </row>
    <row r="75" spans="1:5" x14ac:dyDescent="0.25">
      <c r="A75" s="6">
        <v>44228</v>
      </c>
      <c r="B75" s="2">
        <v>118.44003238595</v>
      </c>
      <c r="C75" s="4">
        <v>61.96</v>
      </c>
      <c r="D75" s="7">
        <f t="shared" ref="D75:E75" si="62">+B75/B63-1</f>
        <v>0.29454362506401432</v>
      </c>
      <c r="E75" s="7">
        <f t="shared" si="62"/>
        <v>0.12654545454545452</v>
      </c>
    </row>
    <row r="76" spans="1:5" x14ac:dyDescent="0.25">
      <c r="A76" s="5">
        <v>44256</v>
      </c>
      <c r="B76" s="1">
        <v>122.65256436555001</v>
      </c>
      <c r="C76" s="3">
        <v>65.19</v>
      </c>
      <c r="D76" s="7">
        <f t="shared" ref="D76:E76" si="63">+B76/B64-1</f>
        <v>0.31141687272464469</v>
      </c>
      <c r="E76" s="7">
        <f t="shared" si="63"/>
        <v>0.97665251667677389</v>
      </c>
    </row>
    <row r="77" spans="1:5" x14ac:dyDescent="0.25">
      <c r="A77" s="6">
        <v>44287</v>
      </c>
      <c r="B77" s="2">
        <v>132.67757035048999</v>
      </c>
      <c r="C77" s="4">
        <v>64.77</v>
      </c>
      <c r="D77" s="7">
        <f t="shared" ref="D77:E77" si="64">+B77/B65-1</f>
        <v>0.52100551828950126</v>
      </c>
      <c r="E77" s="7">
        <f t="shared" si="64"/>
        <v>1.7750642673521848</v>
      </c>
    </row>
    <row r="78" spans="1:5" x14ac:dyDescent="0.25">
      <c r="A78" s="5">
        <v>44317</v>
      </c>
      <c r="B78" s="1">
        <v>126.99574638353999</v>
      </c>
      <c r="C78" s="3">
        <v>68.040000000000006</v>
      </c>
      <c r="D78" s="7">
        <f t="shared" ref="D78:E78" si="65">+B78/B66-1</f>
        <v>0.4445416988070694</v>
      </c>
      <c r="E78" s="7">
        <f t="shared" si="65"/>
        <v>1.1934235976789171</v>
      </c>
    </row>
    <row r="79" spans="1:5" x14ac:dyDescent="0.25">
      <c r="A79" s="6">
        <v>44348</v>
      </c>
      <c r="B79" s="2">
        <v>121.74187383477999</v>
      </c>
      <c r="C79" s="4">
        <v>73.069999999999993</v>
      </c>
      <c r="D79" s="7">
        <f t="shared" ref="D79:E79" si="66">+B79/B67-1</f>
        <v>0.36594081035015424</v>
      </c>
      <c r="E79" s="7">
        <f t="shared" si="66"/>
        <v>0.829952416729276</v>
      </c>
    </row>
    <row r="80" spans="1:5" x14ac:dyDescent="0.25">
      <c r="A80" s="5">
        <v>44378</v>
      </c>
      <c r="B80" s="1">
        <v>119.72968555670001</v>
      </c>
      <c r="C80" s="3">
        <v>74.39</v>
      </c>
      <c r="D80" s="7">
        <f t="shared" ref="D80:E80" si="67">+B80/B68-1</f>
        <v>0.32940209093516648</v>
      </c>
      <c r="E80" s="7">
        <f t="shared" si="67"/>
        <v>0.73767811259051608</v>
      </c>
    </row>
    <row r="81" spans="1:5" x14ac:dyDescent="0.25">
      <c r="A81" s="6">
        <v>44409</v>
      </c>
      <c r="B81" s="2">
        <v>117.27300798272</v>
      </c>
      <c r="C81" s="4">
        <v>70.02</v>
      </c>
      <c r="D81" s="7">
        <f t="shared" ref="D81:E81" si="68">+B81/B69-1</f>
        <v>0.21333885311381162</v>
      </c>
      <c r="E81" s="7">
        <f t="shared" si="68"/>
        <v>0.58201536375960239</v>
      </c>
    </row>
    <row r="82" spans="1:5" x14ac:dyDescent="0.25">
      <c r="A82" s="5">
        <v>44440</v>
      </c>
      <c r="B82" s="1">
        <v>120.17473941006</v>
      </c>
      <c r="C82" s="3">
        <v>74.599999999999994</v>
      </c>
      <c r="D82" s="7">
        <f t="shared" ref="D82:E82" si="69">+B82/B70-1</f>
        <v>0.18096522010699623</v>
      </c>
      <c r="E82" s="7">
        <f t="shared" si="69"/>
        <v>0.81552689218787999</v>
      </c>
    </row>
    <row r="83" spans="1:5" x14ac:dyDescent="0.25">
      <c r="A83" s="6">
        <v>44470</v>
      </c>
      <c r="B83" s="2">
        <v>124.93159448218</v>
      </c>
      <c r="C83" s="4">
        <v>83.65</v>
      </c>
      <c r="D83" s="7">
        <f t="shared" ref="D83:E83" si="70">+B83/B71-1</f>
        <v>0.20361013275192641</v>
      </c>
      <c r="E83" s="7">
        <f t="shared" si="70"/>
        <v>1.0669631826043986</v>
      </c>
    </row>
    <row r="84" spans="1:5" x14ac:dyDescent="0.25">
      <c r="A84" s="5">
        <v>44501</v>
      </c>
      <c r="B84" s="1">
        <v>128.14855373768</v>
      </c>
      <c r="C84" s="3">
        <v>80.77</v>
      </c>
      <c r="D84" s="7">
        <f t="shared" ref="D84:E84" si="71">+B84/B72-1</f>
        <v>0.19636768556525741</v>
      </c>
      <c r="E84" s="7">
        <f t="shared" si="71"/>
        <v>0.86837844089752481</v>
      </c>
    </row>
    <row r="85" spans="1:5" x14ac:dyDescent="0.25">
      <c r="A85" s="6">
        <v>44531</v>
      </c>
      <c r="B85" s="2">
        <v>132.22815877679</v>
      </c>
      <c r="C85" s="4">
        <v>74.31</v>
      </c>
      <c r="D85" s="7">
        <f t="shared" ref="D85:E85" si="72">+B85/B73-1</f>
        <v>0.11159150761688363</v>
      </c>
      <c r="E85" s="7">
        <f t="shared" si="72"/>
        <v>0.49007419290154419</v>
      </c>
    </row>
    <row r="86" spans="1:5" x14ac:dyDescent="0.25">
      <c r="A86" s="5">
        <v>44562</v>
      </c>
      <c r="B86" s="1">
        <v>137.63972328541001</v>
      </c>
      <c r="C86" s="3">
        <v>85.53</v>
      </c>
      <c r="D86" s="7">
        <f t="shared" ref="D86:E86" si="73">+B86/B74-1</f>
        <v>0.12655519788220859</v>
      </c>
      <c r="E86" s="7">
        <f t="shared" si="73"/>
        <v>0.56791934005499556</v>
      </c>
    </row>
    <row r="87" spans="1:5" x14ac:dyDescent="0.25">
      <c r="A87" s="6">
        <v>44593</v>
      </c>
      <c r="B87" s="2">
        <v>157.68903056943</v>
      </c>
      <c r="C87" s="4">
        <v>95.76</v>
      </c>
      <c r="D87" s="7">
        <f t="shared" ref="D87:E87" si="74">+B87/B75-1</f>
        <v>0.33138287277381662</v>
      </c>
      <c r="E87" s="7">
        <f t="shared" si="74"/>
        <v>0.54551323434473864</v>
      </c>
    </row>
    <row r="88" spans="1:5" x14ac:dyDescent="0.25">
      <c r="A88" s="5">
        <v>44621</v>
      </c>
      <c r="B88" s="1">
        <v>163.60312969205</v>
      </c>
      <c r="C88" s="3">
        <v>115.59</v>
      </c>
      <c r="D88" s="7">
        <f t="shared" ref="D88:E88" si="75">+B88/B76-1</f>
        <v>0.3338745140660262</v>
      </c>
      <c r="E88" s="7">
        <f t="shared" si="75"/>
        <v>0.77312471237919933</v>
      </c>
    </row>
    <row r="89" spans="1:5" x14ac:dyDescent="0.25">
      <c r="A89" s="6">
        <v>44652</v>
      </c>
      <c r="B89" s="2">
        <v>168.03734743234</v>
      </c>
      <c r="C89" s="4">
        <v>105.78</v>
      </c>
      <c r="D89" s="7">
        <f t="shared" ref="D89:E89" si="76">+B89/B77-1</f>
        <v>0.26650907902851428</v>
      </c>
      <c r="E89" s="7">
        <f t="shared" si="76"/>
        <v>0.63316350162112101</v>
      </c>
    </row>
    <row r="90" spans="1:5" x14ac:dyDescent="0.25">
      <c r="A90" s="5">
        <v>44682</v>
      </c>
      <c r="B90" s="1">
        <v>156.92520420244</v>
      </c>
      <c r="C90" s="3">
        <v>112.37</v>
      </c>
      <c r="D90" s="7">
        <f t="shared" ref="D90:E90" si="77">+B90/B78-1</f>
        <v>0.23567291559915726</v>
      </c>
      <c r="E90" s="7">
        <f t="shared" si="77"/>
        <v>0.65152851263962375</v>
      </c>
    </row>
    <row r="91" spans="1:5" x14ac:dyDescent="0.25">
      <c r="A91" s="6">
        <v>44713</v>
      </c>
      <c r="B91" s="2">
        <v>143.82822449349001</v>
      </c>
      <c r="C91" s="4">
        <v>120.08</v>
      </c>
      <c r="D91" s="7">
        <f t="shared" ref="D91:E91" si="78">+B91/B79-1</f>
        <v>0.18141950639501525</v>
      </c>
      <c r="E91" s="7">
        <f t="shared" si="78"/>
        <v>0.64335568632817863</v>
      </c>
    </row>
    <row r="92" spans="1:5" x14ac:dyDescent="0.25">
      <c r="A92" s="5">
        <v>44743</v>
      </c>
      <c r="B92" s="1">
        <v>137.38104302468</v>
      </c>
      <c r="C92" s="3">
        <v>108.92</v>
      </c>
      <c r="D92" s="7">
        <f t="shared" ref="D92:E92" si="79">+B92/B80-1</f>
        <v>0.14742674204736717</v>
      </c>
      <c r="E92" s="7">
        <f t="shared" si="79"/>
        <v>0.46417529237800781</v>
      </c>
    </row>
    <row r="93" spans="1:5" x14ac:dyDescent="0.25">
      <c r="A93" s="6">
        <v>44774</v>
      </c>
      <c r="B93" s="2">
        <v>147.12756900398</v>
      </c>
      <c r="C93" s="4">
        <v>98.6</v>
      </c>
      <c r="D93" s="7">
        <f t="shared" ref="D93:E93" si="80">+B93/B81-1</f>
        <v>0.25457316679093811</v>
      </c>
      <c r="E93" s="7">
        <f t="shared" si="80"/>
        <v>0.40816909454441586</v>
      </c>
    </row>
    <row r="94" spans="1:5" x14ac:dyDescent="0.25">
      <c r="A94" s="5">
        <v>44805</v>
      </c>
      <c r="B94" s="1">
        <v>155.60133342987001</v>
      </c>
      <c r="C94" s="3">
        <v>90.16</v>
      </c>
      <c r="D94" s="7">
        <f t="shared" ref="D94:E94" si="81">+B94/B82-1</f>
        <v>0.29479235148517735</v>
      </c>
      <c r="E94" s="7">
        <f t="shared" si="81"/>
        <v>0.20857908847184992</v>
      </c>
    </row>
    <row r="95" spans="1:5" x14ac:dyDescent="0.25">
      <c r="A95" s="6">
        <v>44835</v>
      </c>
      <c r="B95" s="2">
        <v>149.47924691218</v>
      </c>
      <c r="C95" s="4">
        <v>93.13</v>
      </c>
      <c r="D95" s="7">
        <f t="shared" ref="D95:E95" si="82">+B95/B83-1</f>
        <v>0.19648874675574102</v>
      </c>
      <c r="E95" s="7">
        <f t="shared" si="82"/>
        <v>0.11332934847579179</v>
      </c>
    </row>
    <row r="96" spans="1:5" x14ac:dyDescent="0.25">
      <c r="A96" s="5">
        <v>44866</v>
      </c>
      <c r="B96" s="1">
        <v>142.93476265803</v>
      </c>
      <c r="C96" s="3">
        <v>91.07</v>
      </c>
      <c r="D96" s="7">
        <f t="shared" ref="D96:E96" si="83">+B96/B84-1</f>
        <v>0.11538334603929545</v>
      </c>
      <c r="E96" s="7">
        <f t="shared" si="83"/>
        <v>0.12752259502290442</v>
      </c>
    </row>
    <row r="97" spans="1:5" x14ac:dyDescent="0.25">
      <c r="A97" s="6">
        <v>44896</v>
      </c>
      <c r="B97" s="2">
        <v>145.46241353078</v>
      </c>
      <c r="C97" s="4">
        <v>80.900000000000006</v>
      </c>
      <c r="D97" s="7">
        <f t="shared" ref="D97:E97" si="84">+B97/B85-1</f>
        <v>0.1000865086258238</v>
      </c>
      <c r="E97" s="7">
        <f t="shared" si="84"/>
        <v>8.8682546090701253E-2</v>
      </c>
    </row>
    <row r="98" spans="1:5" x14ac:dyDescent="0.25">
      <c r="A98" s="5">
        <v>44927</v>
      </c>
      <c r="B98" s="1">
        <v>144.52977871000999</v>
      </c>
      <c r="C98" s="3">
        <v>83.09</v>
      </c>
      <c r="D98" s="7">
        <f t="shared" ref="D98:E98" si="85">+B98/B86-1</f>
        <v>5.0058625955769598E-2</v>
      </c>
      <c r="E98" s="7">
        <f t="shared" si="85"/>
        <v>-2.8528001870688602E-2</v>
      </c>
    </row>
    <row r="99" spans="1:5" x14ac:dyDescent="0.25">
      <c r="A99" s="6">
        <v>44958</v>
      </c>
      <c r="B99" s="2">
        <v>137.26329121335999</v>
      </c>
      <c r="C99" s="4">
        <v>82.71</v>
      </c>
      <c r="D99" s="7">
        <f t="shared" ref="D99:E99" si="86">+B99/B87-1</f>
        <v>-0.12953177074087352</v>
      </c>
      <c r="E99" s="7">
        <f t="shared" si="86"/>
        <v>-0.13627819548872189</v>
      </c>
    </row>
    <row r="100" spans="1:5" x14ac:dyDescent="0.25">
      <c r="A100" s="5">
        <v>44986</v>
      </c>
      <c r="B100" s="1">
        <v>141.63410950600999</v>
      </c>
      <c r="C100" s="3">
        <v>78.53</v>
      </c>
      <c r="D100" s="7">
        <f t="shared" ref="D100:E100" si="87">+B100/B88-1</f>
        <v>-0.13428239562037891</v>
      </c>
      <c r="E100" s="7">
        <f t="shared" si="87"/>
        <v>-0.32061597023964017</v>
      </c>
    </row>
    <row r="101" spans="1:5" x14ac:dyDescent="0.25">
      <c r="A101" s="6">
        <v>45017</v>
      </c>
      <c r="B101" s="2">
        <v>135.93135861278</v>
      </c>
      <c r="C101" s="4">
        <v>84.11</v>
      </c>
      <c r="D101" s="7">
        <f t="shared" ref="D101:E101" si="88">+B101/B89-1</f>
        <v>-0.19106460147192827</v>
      </c>
      <c r="E101" s="7">
        <f t="shared" si="88"/>
        <v>-0.204859141614672</v>
      </c>
    </row>
    <row r="102" spans="1:5" x14ac:dyDescent="0.25">
      <c r="A102" s="5">
        <v>45047</v>
      </c>
      <c r="B102" s="1">
        <v>133.35971760397999</v>
      </c>
      <c r="C102" s="3">
        <v>75.7</v>
      </c>
      <c r="D102" s="7">
        <f t="shared" ref="D102:E102" si="89">+B102/B90-1</f>
        <v>-0.15017018278376471</v>
      </c>
      <c r="E102" s="7">
        <f t="shared" si="89"/>
        <v>-0.32633265106345111</v>
      </c>
    </row>
    <row r="103" spans="1:5" x14ac:dyDescent="0.25">
      <c r="A103" s="6">
        <v>45078</v>
      </c>
      <c r="B103" s="2">
        <v>129.96832719560001</v>
      </c>
      <c r="C103" s="4">
        <v>74.89</v>
      </c>
      <c r="D103" s="7">
        <f t="shared" ref="D103:E103" si="90">+B103/B91-1</f>
        <v>-9.6364238289803339E-2</v>
      </c>
      <c r="E103" s="7">
        <f t="shared" si="90"/>
        <v>-0.3763324450366422</v>
      </c>
    </row>
    <row r="104" spans="1:5" x14ac:dyDescent="0.25">
      <c r="A104" s="5">
        <v>45108</v>
      </c>
      <c r="B104" s="1">
        <v>124.32626519590001</v>
      </c>
      <c r="C104" s="3">
        <v>80.099999999999994</v>
      </c>
      <c r="D104" s="7">
        <f t="shared" ref="D104:E104" si="91">+B104/B92-1</f>
        <v>-9.5026049747160113E-2</v>
      </c>
      <c r="E104" s="7">
        <f t="shared" si="91"/>
        <v>-0.26459786999632762</v>
      </c>
    </row>
    <row r="105" spans="1:5" x14ac:dyDescent="0.25">
      <c r="A105" s="6">
        <v>45139</v>
      </c>
      <c r="B105" s="2">
        <v>126.77876120099999</v>
      </c>
      <c r="C105" s="4">
        <v>86.162999999999997</v>
      </c>
      <c r="D105" s="7">
        <f t="shared" ref="D105:E105" si="92">+B105/B93-1</f>
        <v>-0.13830723868229988</v>
      </c>
      <c r="E105" s="7">
        <f t="shared" si="92"/>
        <v>-0.12613590263691676</v>
      </c>
    </row>
    <row r="106" spans="1:5" x14ac:dyDescent="0.25">
      <c r="A106" s="5">
        <v>45170</v>
      </c>
      <c r="B106" s="1">
        <v>124.52856516881999</v>
      </c>
      <c r="C106" s="3">
        <v>94</v>
      </c>
      <c r="D106" s="7">
        <f t="shared" ref="D106:E106" si="93">+B106/B94-1</f>
        <v>-0.19969474281564947</v>
      </c>
      <c r="E106" s="7">
        <f t="shared" si="93"/>
        <v>4.2590949423247704E-2</v>
      </c>
    </row>
    <row r="107" spans="1:5" x14ac:dyDescent="0.25">
      <c r="A107" s="6">
        <v>45200</v>
      </c>
      <c r="B107" s="2">
        <v>119.05311970733</v>
      </c>
      <c r="C107" s="4">
        <v>91.061000000000007</v>
      </c>
      <c r="D107" s="7">
        <f t="shared" ref="D107:E107" si="94">+B107/B95-1</f>
        <v>-0.20354750129779253</v>
      </c>
      <c r="E107" s="7">
        <f t="shared" si="94"/>
        <v>-2.2216256845269955E-2</v>
      </c>
    </row>
    <row r="108" spans="1:5" x14ac:dyDescent="0.25">
      <c r="A108" s="5">
        <v>45231</v>
      </c>
      <c r="B108" s="1">
        <v>121.65364606511</v>
      </c>
      <c r="C108" s="3">
        <v>83.183000000000007</v>
      </c>
      <c r="D108" s="7">
        <f t="shared" ref="D108:E108" si="95">+B108/B96-1</f>
        <v>-0.14888692013876892</v>
      </c>
      <c r="E108" s="7">
        <f t="shared" si="95"/>
        <v>-8.6603711430767394E-2</v>
      </c>
    </row>
    <row r="109" spans="1:5" x14ac:dyDescent="0.25">
      <c r="A109" s="6">
        <v>45261</v>
      </c>
      <c r="B109" s="2">
        <v>120.02916803994</v>
      </c>
      <c r="C109" s="4">
        <v>77.858000000000004</v>
      </c>
      <c r="D109" s="7">
        <f t="shared" ref="D109:E109" si="96">+B109/B97-1</f>
        <v>-0.17484410490314251</v>
      </c>
      <c r="E109" s="7">
        <f t="shared" si="96"/>
        <v>-3.7601977750309046E-2</v>
      </c>
    </row>
    <row r="110" spans="1:5" x14ac:dyDescent="0.25">
      <c r="A110" s="5">
        <v>45292</v>
      </c>
      <c r="B110" s="1">
        <v>115.04803326122</v>
      </c>
      <c r="C110" s="3">
        <v>80.227000000000004</v>
      </c>
      <c r="D110" s="7">
        <f t="shared" ref="D110:E110" si="97">+B110/B98-1</f>
        <v>-0.20398388285049052</v>
      </c>
      <c r="E110" s="7">
        <f t="shared" si="97"/>
        <v>-3.445661331086769E-2</v>
      </c>
    </row>
    <row r="111" spans="1:5" x14ac:dyDescent="0.25">
      <c r="A111" s="6">
        <v>45323</v>
      </c>
      <c r="B111" s="2">
        <v>114.21714296194</v>
      </c>
      <c r="C111" s="4">
        <v>83.763999999999996</v>
      </c>
      <c r="D111" s="7">
        <f t="shared" ref="D111:E111" si="98">+B111/B99-1</f>
        <v>-0.16789738937264298</v>
      </c>
      <c r="E111" s="7">
        <f t="shared" si="98"/>
        <v>1.2743320033853145E-2</v>
      </c>
    </row>
    <row r="112" spans="1:5" x14ac:dyDescent="0.25">
      <c r="A112" s="5">
        <v>45352</v>
      </c>
      <c r="B112" s="1">
        <v>112.82479750079</v>
      </c>
      <c r="C112" s="3">
        <v>85.447000000000003</v>
      </c>
      <c r="D112" s="7">
        <f t="shared" ref="D112:E112" si="99">+B112/B100-1</f>
        <v>-0.20340659538652672</v>
      </c>
      <c r="E112" s="7">
        <f t="shared" si="99"/>
        <v>8.8080988157392071E-2</v>
      </c>
    </row>
    <row r="113" spans="1:5" x14ac:dyDescent="0.25">
      <c r="A113" s="6">
        <v>45383</v>
      </c>
      <c r="B113" s="2">
        <v>118.29312681115999</v>
      </c>
      <c r="C113" s="4">
        <v>90.054000000000002</v>
      </c>
      <c r="D113" s="7">
        <f t="shared" ref="D113:E113" si="100">+B113/B101-1</f>
        <v>-0.12975837203146812</v>
      </c>
      <c r="E113" s="7">
        <f t="shared" si="100"/>
        <v>7.0669361550350862E-2</v>
      </c>
    </row>
    <row r="114" spans="1:5" x14ac:dyDescent="0.25">
      <c r="A114" s="5">
        <v>45413</v>
      </c>
      <c r="B114" s="1">
        <v>114.64090784214</v>
      </c>
      <c r="C114" s="3">
        <v>81.995000000000005</v>
      </c>
      <c r="D114" s="7">
        <f t="shared" ref="D114:E114" si="101">+B114/B102-1</f>
        <v>-0.14036329783950707</v>
      </c>
      <c r="E114" s="7">
        <f t="shared" si="101"/>
        <v>8.3157199471598497E-2</v>
      </c>
    </row>
    <row r="115" spans="1:5" x14ac:dyDescent="0.25">
      <c r="A115" s="6">
        <v>45444</v>
      </c>
      <c r="B115" s="2">
        <v>108.08368574353</v>
      </c>
      <c r="C115" s="4">
        <v>82.555000000000007</v>
      </c>
      <c r="D115" s="7">
        <f t="shared" ref="D115:E115" si="102">+B115/B103-1</f>
        <v>-0.16838442045294633</v>
      </c>
      <c r="E115" s="7">
        <f t="shared" si="102"/>
        <v>0.10235011349979972</v>
      </c>
    </row>
    <row r="116" spans="1:5" x14ac:dyDescent="0.25">
      <c r="A116" s="5">
        <v>45474</v>
      </c>
      <c r="B116" s="1">
        <v>105.34147403001</v>
      </c>
      <c r="C116" s="3">
        <v>85.296000000000006</v>
      </c>
      <c r="D116" s="7">
        <f t="shared" ref="D116:E116" si="103">+B116/B104-1</f>
        <v>-0.15270137115416282</v>
      </c>
      <c r="E116" s="7">
        <f t="shared" si="103"/>
        <v>6.4868913857678123E-2</v>
      </c>
    </row>
    <row r="117" spans="1:5" x14ac:dyDescent="0.25">
      <c r="A117" s="6">
        <v>45505</v>
      </c>
      <c r="B117" s="2">
        <v>110.09429172922999</v>
      </c>
      <c r="C117" s="4">
        <v>80.863</v>
      </c>
      <c r="D117" s="7">
        <f t="shared" ref="D117:E117" si="104">+B117/B105-1</f>
        <v>-0.13160303282438446</v>
      </c>
      <c r="E117" s="7">
        <f t="shared" si="104"/>
        <v>-6.151132156494088E-2</v>
      </c>
    </row>
    <row r="118" spans="1:5" x14ac:dyDescent="0.25">
      <c r="A118" s="5">
        <v>45536</v>
      </c>
      <c r="B118" s="1">
        <v>107.58779333567</v>
      </c>
      <c r="C118" s="3">
        <v>74.293000000000006</v>
      </c>
      <c r="D118" s="7">
        <f t="shared" ref="D118:E118" si="105">+B118/B106-1</f>
        <v>-0.13603924376855903</v>
      </c>
      <c r="E118" s="7">
        <f t="shared" si="105"/>
        <v>-0.20964893617021274</v>
      </c>
    </row>
    <row r="119" spans="1:5" x14ac:dyDescent="0.25">
      <c r="A119" s="6">
        <v>45566</v>
      </c>
      <c r="B119" s="2">
        <v>107.58004695133</v>
      </c>
      <c r="C119" s="4">
        <v>75.662000000000006</v>
      </c>
      <c r="D119" s="7">
        <f t="shared" ref="D119:E119" si="106">+B119/B107-1</f>
        <v>-9.6369358352006329E-2</v>
      </c>
      <c r="E119" s="7">
        <f t="shared" si="106"/>
        <v>-0.16910642316688818</v>
      </c>
    </row>
    <row r="120" spans="1:5" x14ac:dyDescent="0.25">
      <c r="A120" s="5">
        <v>45597</v>
      </c>
      <c r="B120" s="1">
        <v>108.64905328749001</v>
      </c>
      <c r="C120" s="3">
        <v>74.394999999999996</v>
      </c>
      <c r="D120" s="7">
        <f t="shared" ref="D120:E120" si="107">+B120/B108-1</f>
        <v>-0.10689850405847956</v>
      </c>
      <c r="E120" s="7">
        <f t="shared" si="107"/>
        <v>-0.10564658644194136</v>
      </c>
    </row>
    <row r="121" spans="1:5" x14ac:dyDescent="0.25">
      <c r="A121" s="6">
        <v>45627</v>
      </c>
      <c r="B121" s="2">
        <v>108.43385418557</v>
      </c>
      <c r="C121" s="4">
        <v>73.832999999999998</v>
      </c>
      <c r="D121" s="7">
        <f t="shared" ref="D121:E121" si="108">+B121/B109-1</f>
        <v>-9.660413417604985E-2</v>
      </c>
      <c r="E121" s="7">
        <f t="shared" si="108"/>
        <v>-5.1696678568676324E-2</v>
      </c>
    </row>
    <row r="122" spans="1:5" x14ac:dyDescent="0.25">
      <c r="A122" s="5">
        <v>45658</v>
      </c>
      <c r="B122" s="1">
        <v>108.50146526501</v>
      </c>
      <c r="C122" s="3">
        <v>79.206000000000003</v>
      </c>
      <c r="D122" s="7">
        <f t="shared" ref="D122:E122" si="109">+B122/B110-1</f>
        <v>-5.6902910989758748E-2</v>
      </c>
      <c r="E122" s="7">
        <f t="shared" si="109"/>
        <v>-1.2726388871576955E-2</v>
      </c>
    </row>
    <row r="123" spans="1:5" x14ac:dyDescent="0.25">
      <c r="A123" s="6">
        <v>45689</v>
      </c>
      <c r="B123" s="2">
        <v>103.73981788863</v>
      </c>
      <c r="C123" s="4">
        <v>75.156999999999996</v>
      </c>
      <c r="D123" s="7">
        <f t="shared" ref="D123:E123" si="110">+B123/B111-1</f>
        <v>-9.1731633287319259E-2</v>
      </c>
      <c r="E123" s="7">
        <f t="shared" si="110"/>
        <v>-0.1027529726374099</v>
      </c>
    </row>
    <row r="124" spans="1:5" x14ac:dyDescent="0.25">
      <c r="A124" s="5">
        <v>45717</v>
      </c>
      <c r="B124" s="1">
        <v>104.12344984542</v>
      </c>
      <c r="C124" s="3">
        <v>72.573999999999998</v>
      </c>
      <c r="D124" s="7">
        <f t="shared" ref="D124:E124" si="111">+B124/B112-1</f>
        <v>-7.7122652538410885E-2</v>
      </c>
      <c r="E124" s="7">
        <f t="shared" si="111"/>
        <v>-0.15065479185928121</v>
      </c>
    </row>
    <row r="125" spans="1:5" x14ac:dyDescent="0.25">
      <c r="A125" s="6">
        <v>45748</v>
      </c>
      <c r="B125" s="2">
        <v>101.22196930766999</v>
      </c>
      <c r="C125" s="4">
        <v>67.745000000000005</v>
      </c>
      <c r="D125" s="7">
        <f t="shared" ref="D125:E125" si="112">+B125/B113-1</f>
        <v>-0.14431233634344576</v>
      </c>
      <c r="E125" s="7">
        <f t="shared" si="112"/>
        <v>-0.2477291402936016</v>
      </c>
    </row>
    <row r="126" spans="1:5" x14ac:dyDescent="0.25">
      <c r="A126" s="5">
        <v>45778</v>
      </c>
      <c r="B126" s="1">
        <v>99.081939990579997</v>
      </c>
      <c r="C126" s="3">
        <v>64.206000000000003</v>
      </c>
      <c r="D126" s="7">
        <f t="shared" ref="D126:E126" si="113">+B126/B114-1</f>
        <v>-0.13571916120015926</v>
      </c>
      <c r="E126" s="7">
        <f t="shared" si="113"/>
        <v>-0.21695225318616984</v>
      </c>
    </row>
    <row r="127" spans="1:5" x14ac:dyDescent="0.25">
      <c r="A127" s="6">
        <v>45809</v>
      </c>
      <c r="B127" s="2">
        <v>95.912555958230001</v>
      </c>
      <c r="C127" s="4">
        <v>71.45</v>
      </c>
      <c r="D127" s="7">
        <f t="shared" ref="D127:E127" si="114">+B127/B115-1</f>
        <v>-0.11260838952310226</v>
      </c>
      <c r="E127" s="7">
        <f t="shared" si="114"/>
        <v>-0.13451638301738233</v>
      </c>
    </row>
    <row r="128" spans="1:5" x14ac:dyDescent="0.25">
      <c r="A128" s="5">
        <v>45839</v>
      </c>
      <c r="B128" s="1">
        <v>92.966479562689997</v>
      </c>
      <c r="C128" s="3">
        <v>70.950999999999993</v>
      </c>
      <c r="D128" s="7">
        <f t="shared" ref="D128:E128" si="115">+B128/B116-1</f>
        <v>-0.11747504561968236</v>
      </c>
      <c r="E128" s="7">
        <f t="shared" si="115"/>
        <v>-0.16817904708309894</v>
      </c>
    </row>
    <row r="129" spans="1:5" x14ac:dyDescent="0.25">
      <c r="A129" s="6">
        <v>45870</v>
      </c>
      <c r="B129" s="3">
        <v>95.791910899170006</v>
      </c>
      <c r="C129" s="4">
        <v>68.203000000000003</v>
      </c>
      <c r="D129" s="7">
        <f t="shared" ref="D129:E129" si="116">+B129/B117-1</f>
        <v>-0.12991028513300029</v>
      </c>
      <c r="E129" s="7">
        <f t="shared" si="116"/>
        <v>-0.15656109716433964</v>
      </c>
    </row>
    <row r="130" spans="1:5" x14ac:dyDescent="0.25">
      <c r="A130" s="5">
        <v>45901</v>
      </c>
      <c r="B130" s="1">
        <v>94.490598608520003</v>
      </c>
      <c r="C130" s="3">
        <v>67.950999999999993</v>
      </c>
      <c r="D130" s="7">
        <f t="shared" ref="D130:E130" si="117">+B130/B118-1</f>
        <v>-0.1217349507883968</v>
      </c>
      <c r="E130" s="7">
        <f t="shared" si="117"/>
        <v>-8.5364704615509046E-2</v>
      </c>
    </row>
    <row r="131" spans="1:5" x14ac:dyDescent="0.25">
      <c r="A131" s="6">
        <v>45931</v>
      </c>
      <c r="B131" s="3">
        <v>97.772497577449997</v>
      </c>
      <c r="C131" s="4">
        <v>64.650999999999996</v>
      </c>
      <c r="D131" s="7">
        <f>+B131/B119-1</f>
        <v>-9.1165133793974062E-2</v>
      </c>
      <c r="E131" s="7">
        <f>+C131/C119-1</f>
        <v>-0.14552879913298633</v>
      </c>
    </row>
    <row r="132" spans="1:5" x14ac:dyDescent="0.25">
      <c r="A132" s="5">
        <v>45962</v>
      </c>
      <c r="C132" s="3">
        <v>63.609000000000002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 RETANA KISHA DAYANE</dc:creator>
  <cp:lastModifiedBy>Fabian Brenes</cp:lastModifiedBy>
  <dcterms:created xsi:type="dcterms:W3CDTF">2025-12-13T00:22:53Z</dcterms:created>
  <dcterms:modified xsi:type="dcterms:W3CDTF">2025-12-13T01:36:44Z</dcterms:modified>
</cp:coreProperties>
</file>